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pslo-my.sharepoint.com/personal/fhudson_calpoly_edu/Documents/GRC 404/"/>
    </mc:Choice>
  </mc:AlternateContent>
  <xr:revisionPtr revIDLastSave="29" documentId="8_{39922786-ADAD-D741-950F-5C39D043B2D8}" xr6:coauthVersionLast="47" xr6:coauthVersionMax="47" xr10:uidLastSave="{0D9404D2-0547-4947-A297-E6E3E5C97B83}"/>
  <bookViews>
    <workbookView xWindow="15160" yWindow="680" windowWidth="15060" windowHeight="17640" xr2:uid="{4DDACA5C-21AD-3449-868E-824D75D0218F}"/>
  </bookViews>
  <sheets>
    <sheet name="Sheet1" sheetId="1" r:id="rId1"/>
    <sheet name="List" sheetId="2" r:id="rId2"/>
  </sheets>
  <definedNames>
    <definedName name="Price_basis">List!$B$2:$B$4</definedName>
    <definedName name="Stock">List!$A$2:$A$5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" i="1" l="1"/>
  <c r="D23" i="1"/>
  <c r="C23" i="1"/>
  <c r="B23" i="1"/>
  <c r="E20" i="1"/>
  <c r="C20" i="1"/>
  <c r="B16" i="1"/>
  <c r="B15" i="1"/>
  <c r="B12" i="1"/>
  <c r="B8" i="1"/>
</calcChain>
</file>

<file path=xl/sharedStrings.xml><?xml version="1.0" encoding="utf-8"?>
<sst xmlns="http://schemas.openxmlformats.org/spreadsheetml/2006/main" count="40" uniqueCount="38">
  <si>
    <t>Appendix Pg</t>
  </si>
  <si>
    <t>D-4</t>
  </si>
  <si>
    <t>Index Bristol</t>
  </si>
  <si>
    <t>6 x 10</t>
  </si>
  <si>
    <t>Problem No.</t>
  </si>
  <si>
    <t>FSS Qty</t>
  </si>
  <si>
    <t>Stock type</t>
  </si>
  <si>
    <t>Basis Wt</t>
  </si>
  <si>
    <t>Fss width</t>
  </si>
  <si>
    <t>Fss height</t>
  </si>
  <si>
    <t>Pss Size</t>
  </si>
  <si>
    <t>PAR width</t>
  </si>
  <si>
    <t>PAR height</t>
  </si>
  <si>
    <t>Pricing Basis</t>
  </si>
  <si>
    <t>PAR Price</t>
  </si>
  <si>
    <t>Basic Size</t>
  </si>
  <si>
    <r>
      <t>FSS in</t>
    </r>
    <r>
      <rPr>
        <b/>
        <vertAlign val="superscript"/>
        <sz val="12"/>
        <color theme="1"/>
        <rFont val="Helvetica"/>
        <family val="2"/>
      </rPr>
      <t>2</t>
    </r>
  </si>
  <si>
    <r>
      <t>PAR in</t>
    </r>
    <r>
      <rPr>
        <b/>
        <vertAlign val="superscript"/>
        <sz val="12"/>
        <color theme="1"/>
        <rFont val="Helvetica"/>
        <family val="2"/>
      </rPr>
      <t>2</t>
    </r>
  </si>
  <si>
    <r>
      <t>Basic Size in</t>
    </r>
    <r>
      <rPr>
        <b/>
        <vertAlign val="superscript"/>
        <sz val="12"/>
        <color theme="1"/>
        <rFont val="Helvetica"/>
        <family val="2"/>
      </rPr>
      <t>2</t>
    </r>
  </si>
  <si>
    <t>Green = input</t>
  </si>
  <si>
    <t>Purple = drop down</t>
  </si>
  <si>
    <t>Yellow = calculations</t>
  </si>
  <si>
    <t>Cover</t>
  </si>
  <si>
    <t>Stock</t>
  </si>
  <si>
    <t>Business</t>
  </si>
  <si>
    <t>Book</t>
  </si>
  <si>
    <t>Price_basis</t>
  </si>
  <si>
    <t>$/CWT</t>
  </si>
  <si>
    <t>$/C-sheet</t>
  </si>
  <si>
    <t>$/M-sheet</t>
  </si>
  <si>
    <t>FSS up on PSS</t>
  </si>
  <si>
    <t>PSS Qty</t>
  </si>
  <si>
    <t>PSS out of PAR</t>
  </si>
  <si>
    <t>PAR Qty</t>
  </si>
  <si>
    <t>Converted M-Wt</t>
  </si>
  <si>
    <t>Weight</t>
  </si>
  <si>
    <t>Price</t>
  </si>
  <si>
    <t>Waste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</si>
</sst>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9" formatCode="0.0%"/>
  </numFmts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Helvetica"/>
      <family val="2"/>
    </font>
    <font>
      <b/>
      <vertAlign val="superscript"/>
      <sz val="12"/>
      <color theme="1"/>
      <name val="Helvetica"/>
      <family val="2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FA00"/>
        <bgColor indexed="64"/>
      </patternFill>
    </fill>
    <fill>
      <patternFill patternType="solid">
        <fgColor rgb="FFFFFD78"/>
        <bgColor indexed="64"/>
      </patternFill>
    </fill>
    <fill>
      <patternFill patternType="solid">
        <fgColor theme="8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0" fillId="2" borderId="1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2" xfId="0" applyFill="1" applyBorder="1" applyAlignment="1">
      <alignment horizontal="left"/>
    </xf>
    <xf numFmtId="8" fontId="0" fillId="2" borderId="1" xfId="0" applyNumberFormat="1" applyFill="1" applyBorder="1" applyAlignment="1">
      <alignment horizontal="left"/>
    </xf>
    <xf numFmtId="2" fontId="0" fillId="3" borderId="1" xfId="0" applyNumberFormat="1" applyFill="1" applyBorder="1" applyAlignment="1">
      <alignment horizontal="left"/>
    </xf>
    <xf numFmtId="0" fontId="4" fillId="0" borderId="0" xfId="0" applyFont="1"/>
    <xf numFmtId="0" fontId="0" fillId="4" borderId="1" xfId="0" applyFill="1" applyBorder="1" applyAlignment="1">
      <alignment horizontal="left"/>
    </xf>
    <xf numFmtId="0" fontId="0" fillId="4" borderId="1" xfId="0" applyFont="1" applyFill="1" applyBorder="1" applyAlignment="1">
      <alignment horizontal="left"/>
    </xf>
    <xf numFmtId="0" fontId="5" fillId="0" borderId="0" xfId="0" applyFont="1"/>
    <xf numFmtId="0" fontId="2" fillId="0" borderId="4" xfId="0" applyFont="1" applyBorder="1" applyAlignment="1">
      <alignment horizontal="right"/>
    </xf>
    <xf numFmtId="0" fontId="0" fillId="2" borderId="5" xfId="0" applyFill="1" applyBorder="1" applyAlignment="1">
      <alignment horizontal="left"/>
    </xf>
    <xf numFmtId="0" fontId="2" fillId="0" borderId="6" xfId="0" applyFont="1" applyBorder="1" applyAlignment="1">
      <alignment horizontal="right"/>
    </xf>
    <xf numFmtId="0" fontId="2" fillId="0" borderId="7" xfId="0" applyFont="1" applyBorder="1" applyAlignment="1">
      <alignment horizontal="right"/>
    </xf>
    <xf numFmtId="0" fontId="0" fillId="2" borderId="3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3" borderId="7" xfId="0" applyFill="1" applyBorder="1" applyAlignment="1">
      <alignment horizontal="center"/>
    </xf>
    <xf numFmtId="169" fontId="0" fillId="3" borderId="2" xfId="2" applyNumberFormat="1" applyFont="1" applyFill="1" applyBorder="1" applyAlignment="1">
      <alignment horizontal="center"/>
    </xf>
    <xf numFmtId="0" fontId="0" fillId="3" borderId="3" xfId="1" applyNumberFormat="1" applyFont="1" applyFill="1" applyBorder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00FA00"/>
      <color rgb="FFFFFD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4D09A-F509-3849-AEEE-D8488FDE8D8F}">
  <dimension ref="A1:E23"/>
  <sheetViews>
    <sheetView tabSelected="1" workbookViewId="0">
      <selection activeCell="D19" sqref="D19"/>
    </sheetView>
  </sheetViews>
  <sheetFormatPr baseColWidth="10" defaultRowHeight="16" x14ac:dyDescent="0.2"/>
  <cols>
    <col min="1" max="1" width="20.6640625" customWidth="1"/>
    <col min="2" max="2" width="19.5" customWidth="1"/>
    <col min="4" max="4" width="18.33203125" bestFit="1" customWidth="1"/>
  </cols>
  <sheetData>
    <row r="1" spans="1:4" x14ac:dyDescent="0.2">
      <c r="A1" s="10" t="s">
        <v>0</v>
      </c>
      <c r="B1" s="11" t="s">
        <v>1</v>
      </c>
    </row>
    <row r="2" spans="1:4" x14ac:dyDescent="0.2">
      <c r="A2" s="12" t="s">
        <v>4</v>
      </c>
      <c r="B2" s="1">
        <v>3</v>
      </c>
    </row>
    <row r="3" spans="1:4" x14ac:dyDescent="0.2">
      <c r="A3" s="12" t="s">
        <v>5</v>
      </c>
      <c r="B3" s="1">
        <v>48000</v>
      </c>
    </row>
    <row r="4" spans="1:4" x14ac:dyDescent="0.2">
      <c r="A4" s="12" t="s">
        <v>6</v>
      </c>
      <c r="B4" s="8" t="s">
        <v>2</v>
      </c>
    </row>
    <row r="5" spans="1:4" x14ac:dyDescent="0.2">
      <c r="A5" s="12" t="s">
        <v>7</v>
      </c>
      <c r="B5" s="1">
        <v>110</v>
      </c>
    </row>
    <row r="6" spans="1:4" x14ac:dyDescent="0.2">
      <c r="A6" s="12" t="s">
        <v>8</v>
      </c>
      <c r="B6" s="1">
        <v>3</v>
      </c>
      <c r="D6" t="s">
        <v>19</v>
      </c>
    </row>
    <row r="7" spans="1:4" x14ac:dyDescent="0.2">
      <c r="A7" s="12" t="s">
        <v>9</v>
      </c>
      <c r="B7" s="1">
        <v>5</v>
      </c>
      <c r="D7" t="s">
        <v>21</v>
      </c>
    </row>
    <row r="8" spans="1:4" ht="18" x14ac:dyDescent="0.2">
      <c r="A8" s="12" t="s">
        <v>16</v>
      </c>
      <c r="B8" s="5">
        <f>IFERROR(B6*B7, "Reenter FSS")</f>
        <v>15</v>
      </c>
      <c r="D8" t="s">
        <v>20</v>
      </c>
    </row>
    <row r="9" spans="1:4" x14ac:dyDescent="0.2">
      <c r="A9" s="12" t="s">
        <v>10</v>
      </c>
      <c r="B9" s="1" t="s">
        <v>3</v>
      </c>
    </row>
    <row r="10" spans="1:4" x14ac:dyDescent="0.2">
      <c r="A10" s="12" t="s">
        <v>11</v>
      </c>
      <c r="B10" s="1">
        <v>25.5</v>
      </c>
    </row>
    <row r="11" spans="1:4" x14ac:dyDescent="0.2">
      <c r="A11" s="12" t="s">
        <v>12</v>
      </c>
      <c r="B11" s="1">
        <v>30.5</v>
      </c>
    </row>
    <row r="12" spans="1:4" ht="18" x14ac:dyDescent="0.2">
      <c r="A12" s="12" t="s">
        <v>17</v>
      </c>
      <c r="B12" s="5">
        <f>IFERROR(B10*B11,"Reenter PAR")</f>
        <v>777.75</v>
      </c>
    </row>
    <row r="13" spans="1:4" x14ac:dyDescent="0.2">
      <c r="A13" s="12" t="s">
        <v>13</v>
      </c>
      <c r="B13" s="7" t="s">
        <v>29</v>
      </c>
    </row>
    <row r="14" spans="1:4" x14ac:dyDescent="0.2">
      <c r="A14" s="12" t="s">
        <v>14</v>
      </c>
      <c r="B14" s="4">
        <v>11.35</v>
      </c>
    </row>
    <row r="15" spans="1:4" x14ac:dyDescent="0.2">
      <c r="A15" s="12" t="s">
        <v>15</v>
      </c>
      <c r="B15" s="2" t="str">
        <f>IF(B$4="Index Bristol","25.5*30.5",IF(B$4="Business","17*22",IF(B$4="Book","25*38",IF(B$4="Cover","20*26","Reenter stock"))))</f>
        <v>25.5*30.5</v>
      </c>
    </row>
    <row r="16" spans="1:4" ht="19" thickBot="1" x14ac:dyDescent="0.25">
      <c r="A16" s="13" t="s">
        <v>18</v>
      </c>
      <c r="B16" s="3">
        <f>IF(B$4="Index Bristol",25.5*30.5,IF(B$4="Business",17*22,IF(B$4="Book",25*38,IF(B$4="Cover",20*26,"Reenter stock"))))</f>
        <v>777.75</v>
      </c>
    </row>
    <row r="18" spans="2:5" ht="17" thickBot="1" x14ac:dyDescent="0.25"/>
    <row r="19" spans="2:5" x14ac:dyDescent="0.2">
      <c r="B19" s="16" t="s">
        <v>30</v>
      </c>
      <c r="C19" s="17" t="s">
        <v>31</v>
      </c>
      <c r="D19" s="17" t="s">
        <v>32</v>
      </c>
      <c r="E19" s="18" t="s">
        <v>33</v>
      </c>
    </row>
    <row r="20" spans="2:5" ht="17" thickBot="1" x14ac:dyDescent="0.25">
      <c r="B20" s="15">
        <v>4</v>
      </c>
      <c r="C20" s="19">
        <f>IFERROR(ROUNDUP(B3/B20,0),"Check Qty")</f>
        <v>12000</v>
      </c>
      <c r="D20" s="14">
        <v>12</v>
      </c>
      <c r="E20" s="20">
        <f>IFERROR(ROUNDUP(C20/D20, 0), "Check Qty")</f>
        <v>1000</v>
      </c>
    </row>
    <row r="21" spans="2:5" ht="17" thickBot="1" x14ac:dyDescent="0.25">
      <c r="B21" s="21"/>
      <c r="C21" s="21"/>
      <c r="D21" s="21"/>
      <c r="E21" s="21"/>
    </row>
    <row r="22" spans="2:5" x14ac:dyDescent="0.2">
      <c r="B22" s="16" t="s">
        <v>34</v>
      </c>
      <c r="C22" s="17" t="s">
        <v>35</v>
      </c>
      <c r="D22" s="17" t="s">
        <v>36</v>
      </c>
      <c r="E22" s="18" t="s">
        <v>37</v>
      </c>
    </row>
    <row r="23" spans="2:5" ht="17" thickBot="1" x14ac:dyDescent="0.25">
      <c r="B23" s="22">
        <f>IFERROR(B12/B16*2*B5, "Check inputs")</f>
        <v>220</v>
      </c>
      <c r="C23" s="19">
        <f>IFERROR(E20/1000*B23,"Check inputs")</f>
        <v>220</v>
      </c>
      <c r="D23" s="24">
        <f>IF(B13="$/CWT",C23/100*B14,IF(B13="$/M-sheet",E20/1000*B14,IF(B13="$/C-sheet",E20/100*B14,"Check inputs")))</f>
        <v>11.35</v>
      </c>
      <c r="E23" s="23">
        <f>IFERROR(1-B8*B20*D20/B12,"Check inputs")</f>
        <v>7.4252651880424292E-2</v>
      </c>
    </row>
  </sheetData>
  <dataValidations count="2">
    <dataValidation type="list" allowBlank="1" showInputMessage="1" showErrorMessage="1" sqref="B4" xr:uid="{6585F4EF-37F0-2D49-80FE-07F2E228991B}">
      <formula1>Stock</formula1>
    </dataValidation>
    <dataValidation type="list" allowBlank="1" showInputMessage="1" showErrorMessage="1" sqref="B13" xr:uid="{9C0DEABB-B914-3945-BE05-A607B29CE394}">
      <formula1>Price_basis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DEBE5-CC19-4145-8683-28CF1B2AE29D}">
  <dimension ref="A1:B5"/>
  <sheetViews>
    <sheetView workbookViewId="0">
      <selection activeCell="B2" sqref="B2:B4"/>
    </sheetView>
  </sheetViews>
  <sheetFormatPr baseColWidth="10" defaultRowHeight="16" x14ac:dyDescent="0.2"/>
  <sheetData>
    <row r="1" spans="1:2" x14ac:dyDescent="0.2">
      <c r="A1" s="6" t="s">
        <v>23</v>
      </c>
      <c r="B1" s="6" t="s">
        <v>26</v>
      </c>
    </row>
    <row r="2" spans="1:2" x14ac:dyDescent="0.2">
      <c r="A2" s="9" t="s">
        <v>2</v>
      </c>
      <c r="B2" t="s">
        <v>27</v>
      </c>
    </row>
    <row r="3" spans="1:2" x14ac:dyDescent="0.2">
      <c r="A3" s="9" t="s">
        <v>24</v>
      </c>
      <c r="B3" t="s">
        <v>28</v>
      </c>
    </row>
    <row r="4" spans="1:2" x14ac:dyDescent="0.2">
      <c r="A4" s="9" t="s">
        <v>22</v>
      </c>
      <c r="B4" t="s">
        <v>29</v>
      </c>
    </row>
    <row r="5" spans="1:2" x14ac:dyDescent="0.2">
      <c r="A5" s="9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List</vt:lpstr>
      <vt:lpstr>Price_basis</vt:lpstr>
      <vt:lpstr>Stock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Finley Hudson</dc:creator>
  <cp:lastModifiedBy>Finley Hudson</cp:lastModifiedBy>
  <dcterms:created xsi:type="dcterms:W3CDTF">2026-01-13T17:05:13Z</dcterms:created>
  <dcterms:modified xsi:type="dcterms:W3CDTF">2026-01-13T18:51:32Z</dcterms:modified>
</cp:coreProperties>
</file>